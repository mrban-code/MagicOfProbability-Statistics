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\Documents\"/>
    </mc:Choice>
  </mc:AlternateContent>
  <xr:revisionPtr revIDLastSave="0" documentId="13_ncr:1_{B3DD3BDC-1E96-443B-B46E-B6EA22B4E40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port Tables" sheetId="1" r:id="rId1"/>
    <sheet name="Cutpoints" sheetId="2" r:id="rId2"/>
    <sheet name="BN Scenarios" sheetId="3" r:id="rId3"/>
    <sheet name="State Sensitivity" sheetId="4" r:id="rId4"/>
    <sheet name="Sensitivity Ranking" sheetId="5" r:id="rId5"/>
    <sheet name="Notes" sheetId="6" r:id="rId6"/>
  </sheets>
  <calcPr calcId="0"/>
</workbook>
</file>

<file path=xl/sharedStrings.xml><?xml version="1.0" encoding="utf-8"?>
<sst xmlns="http://schemas.openxmlformats.org/spreadsheetml/2006/main" count="321" uniqueCount="120">
  <si>
    <t>Concrete Thresholds and High PM2.5 Risk</t>
  </si>
  <si>
    <t>Scenario</t>
  </si>
  <si>
    <t>Concrete definition</t>
  </si>
  <si>
    <t>Matching days</t>
  </si>
  <si>
    <t>Empirical P(High PM2.5)</t>
  </si>
  <si>
    <t>BN P(High PM2.5)</t>
  </si>
  <si>
    <t>Delta vs baseline</t>
  </si>
  <si>
    <t>BN Probability (%)</t>
  </si>
  <si>
    <t>Delta (percentage points)</t>
  </si>
  <si>
    <t>Baseline</t>
  </si>
  <si>
    <t>All days; High PM2.5 defined as PM2.5 &gt; 32.24 µg/m³</t>
  </si>
  <si>
    <t>Low wind speed</t>
  </si>
  <si>
    <t>Wind speed ≤ 1.65 m/s</t>
  </si>
  <si>
    <t>High humidity</t>
  </si>
  <si>
    <t>Humidity &gt; 67.29%</t>
  </si>
  <si>
    <t>High NO2</t>
  </si>
  <si>
    <t>NO₂ &gt; 25.92 µg/m³</t>
  </si>
  <si>
    <t>High CO</t>
  </si>
  <si>
    <t>CO &gt; 0.542 mg/m³</t>
  </si>
  <si>
    <t>High CO + low wind speed</t>
  </si>
  <si>
    <t>CO &gt; 0.542 mg/m³ and wind speed ≤ 1.65 m/s</t>
  </si>
  <si>
    <t>Variable</t>
  </si>
  <si>
    <t>Unit</t>
  </si>
  <si>
    <t>33.3% cutpoint</t>
  </si>
  <si>
    <t>66.7% cutpoint</t>
  </si>
  <si>
    <t>Low state</t>
  </si>
  <si>
    <t>Medium state</t>
  </si>
  <si>
    <t>High state</t>
  </si>
  <si>
    <t>PM2.5</t>
  </si>
  <si>
    <t>µg/m³</t>
  </si>
  <si>
    <t>≤ 15.42</t>
  </si>
  <si>
    <t>&gt; 15.42 and ≤ 32.24</t>
  </si>
  <si>
    <t>&gt; 32.24</t>
  </si>
  <si>
    <t>Temperature</t>
  </si>
  <si>
    <t>°C</t>
  </si>
  <si>
    <t>≤ 5.47</t>
  </si>
  <si>
    <t>&gt; 5.47 and ≤ 20.63</t>
  </si>
  <si>
    <t>&gt; 20.63</t>
  </si>
  <si>
    <t>Humidity</t>
  </si>
  <si>
    <t>%</t>
  </si>
  <si>
    <t>≤ 49.31</t>
  </si>
  <si>
    <t>&gt; 49.31 and ≤ 67.29</t>
  </si>
  <si>
    <t>&gt; 67.29</t>
  </si>
  <si>
    <t>Wind speed</t>
  </si>
  <si>
    <t>m/s</t>
  </si>
  <si>
    <t>≤ 1.65</t>
  </si>
  <si>
    <t>&gt; 1.65 and ≤ 2.40</t>
  </si>
  <si>
    <t>&gt; 2.40</t>
  </si>
  <si>
    <t>CO</t>
  </si>
  <si>
    <t>mg/m³</t>
  </si>
  <si>
    <t>≤ 0.38</t>
  </si>
  <si>
    <t>&gt; 0.38 and ≤ 0.54</t>
  </si>
  <si>
    <t>&gt; 0.54</t>
  </si>
  <si>
    <t>NO₂</t>
  </si>
  <si>
    <t>≤ 15.91</t>
  </si>
  <si>
    <t>&gt; 15.91 and ≤ 25.92</t>
  </si>
  <si>
    <t>&gt; 25.92</t>
  </si>
  <si>
    <t>SO₂</t>
  </si>
  <si>
    <t>≤ 2.53</t>
  </si>
  <si>
    <t>&gt; 2.53 and ≤ 2.97</t>
  </si>
  <si>
    <t>&gt; 2.97</t>
  </si>
  <si>
    <t>O₃</t>
  </si>
  <si>
    <t>≤ 44.57</t>
  </si>
  <si>
    <t>&gt; 44.57 and ≤ 73.03</t>
  </si>
  <si>
    <t>&gt; 73.03</t>
  </si>
  <si>
    <t>PM10</t>
  </si>
  <si>
    <t>≤ 33.30</t>
  </si>
  <si>
    <t>&gt; 33.30 and ≤ 62.30</t>
  </si>
  <si>
    <t>&gt; 62.30</t>
  </si>
  <si>
    <t>Discretization Cutpoints for Bayesian Network Variables</t>
  </si>
  <si>
    <t>Bayesian Network Key Scenarios</t>
  </si>
  <si>
    <t>High PM2.5 Probability by Variable State</t>
  </si>
  <si>
    <t>Category</t>
  </si>
  <si>
    <t>State</t>
  </si>
  <si>
    <t>Days</t>
  </si>
  <si>
    <t>Abs delta (percentage points)</t>
  </si>
  <si>
    <t>Meteorological</t>
  </si>
  <si>
    <t>Low</t>
  </si>
  <si>
    <t>Medium</t>
  </si>
  <si>
    <t>High</t>
  </si>
  <si>
    <t>Precipitation</t>
  </si>
  <si>
    <t>No rain</t>
  </si>
  <si>
    <t>Rain</t>
  </si>
  <si>
    <t>Gaseous pollutant</t>
  </si>
  <si>
    <t>NO2</t>
  </si>
  <si>
    <t>SO2</t>
  </si>
  <si>
    <t>O3</t>
  </si>
  <si>
    <t>Particulate background</t>
  </si>
  <si>
    <t>Bayesian Network Sensitivity Ranking</t>
  </si>
  <si>
    <t>Rank</t>
  </si>
  <si>
    <t>Strongest state</t>
  </si>
  <si>
    <t>Strongest delta P</t>
  </si>
  <si>
    <t>Lowest-risk state</t>
  </si>
  <si>
    <t>Lowest BN P</t>
  </si>
  <si>
    <t>Highest-risk state</t>
  </si>
  <si>
    <t>Highest BN P</t>
  </si>
  <si>
    <t>Probability range</t>
  </si>
  <si>
    <t>Source and Usage Notes</t>
  </si>
  <si>
    <t>Item</t>
  </si>
  <si>
    <t>Content</t>
  </si>
  <si>
    <t>Source file</t>
  </si>
  <si>
    <t>How to use in the report</t>
  </si>
  <si>
    <t>Purpose</t>
  </si>
  <si>
    <t>This workbook contains the missing report-ready tables that connect concrete thresholds with high PM2.5 risk.</t>
  </si>
  <si>
    <t>Use the Report Tables sheet directly in the Bayesian Network Results or Integrated Discussion section.</t>
  </si>
  <si>
    <t>Discretization rule</t>
  </si>
  <si>
    <t>Low/Medium/High states are based on 33.3% and 66.7% tertile cutpoints.</t>
  </si>
  <si>
    <t>project/变量/step2_discretize_cutpoints.csv</t>
  </si>
  <si>
    <t>Explain what 'High CO' or 'Low wind speed' means in concrete numeric terms.</t>
  </si>
  <si>
    <t>Scenario probabilities</t>
  </si>
  <si>
    <t>BN P(High PM2.5) shows the Bayesian-network probability of high PM2.5 under each evidence scenario.</t>
  </si>
  <si>
    <t>project/step2 bayesian-network/bn_key_scenarios.csv</t>
  </si>
  <si>
    <t>Use the scenario table to show which conditions raise high-pollution probability.</t>
  </si>
  <si>
    <t>State sensitivity</t>
  </si>
  <si>
    <t>This table gives probabilities for every state of each variable.</t>
  </si>
  <si>
    <t>project/step2 bayesian-network/bn_sensitivity_by_state.csv</t>
  </si>
  <si>
    <t>Use when you need more detailed support beyond the key scenarios.</t>
  </si>
  <si>
    <t>Interpretation caution</t>
  </si>
  <si>
    <t>These values are statistical associations from the Bayesian network. They should not be interpreted as physical causal contributions.</t>
  </si>
  <si>
    <t>State this limitation in discussion.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</si>
</sst>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1F4E78"/>
      <name val="Carlito"/>
    </font>
    <font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0" fontId="1" fillId="4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vertical="top" wrapText="1"/>
    </xf>
    <xf numFmtId="0" fontId="1" fillId="6" borderId="0" xfId="1" applyFont="1" applyFill="1" applyAlignment="1">
      <alignment horizontal="center" vertical="center" wrapText="1"/>
    </xf>
    <xf numFmtId="0" fontId="0" fillId="7" borderId="0" xfId="1" applyFont="1" applyFill="1" applyAlignment="1">
      <alignment vertical="top" wrapText="1"/>
    </xf>
    <xf numFmtId="1" fontId="0" fillId="7" borderId="0" xfId="1" applyNumberFormat="1" applyFont="1" applyFill="1" applyAlignment="1">
      <alignment vertical="top" wrapText="1"/>
    </xf>
    <xf numFmtId="176" fontId="0" fillId="7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3" fillId="3" borderId="0" xfId="1" applyFont="1" applyFill="1" applyAlignment="1">
      <alignment horizontal="left" vertical="center" wrapText="1"/>
    </xf>
    <xf numFmtId="0" fontId="0" fillId="0" borderId="0" xfId="1" applyFont="1" applyAlignment="1">
      <alignment vertical="top" wrapText="1"/>
    </xf>
    <xf numFmtId="0" fontId="2" fillId="7" borderId="0" xfId="1" applyFont="1" applyFill="1" applyAlignment="1">
      <alignment horizontal="left" vertical="top" wrapText="1"/>
    </xf>
    <xf numFmtId="0" fontId="0" fillId="7" borderId="0" xfId="1" applyFont="1" applyFill="1" applyAlignment="1">
      <alignment vertical="top" wrapText="1"/>
    </xf>
    <xf numFmtId="0" fontId="0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High PM2.5 Probability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BN Probability (%)</c:v>
          </c:tx>
          <c:invertIfNegative val="1"/>
          <c:cat>
            <c:strRef>
              <c:f>'Report Tables'!$J$4:$J$9</c:f>
              <c:strCache>
                <c:ptCount val="6"/>
                <c:pt idx="0">
                  <c:v>Baseline</c:v>
                </c:pt>
                <c:pt idx="1">
                  <c:v>Low wind speed</c:v>
                </c:pt>
                <c:pt idx="2">
                  <c:v>High humidity</c:v>
                </c:pt>
                <c:pt idx="3">
                  <c:v>High NO2</c:v>
                </c:pt>
                <c:pt idx="4">
                  <c:v>High CO</c:v>
                </c:pt>
                <c:pt idx="5">
                  <c:v>High CO + low wind speed</c:v>
                </c:pt>
              </c:strCache>
            </c:strRef>
          </c:cat>
          <c:val>
            <c:numRef>
              <c:f>'Report Tables'!$K$4:$K$9</c:f>
              <c:numCache>
                <c:formatCode>0.00</c:formatCode>
                <c:ptCount val="6"/>
                <c:pt idx="0">
                  <c:v>33.378839999999997</c:v>
                </c:pt>
                <c:pt idx="1">
                  <c:v>41.548064000000004</c:v>
                </c:pt>
                <c:pt idx="2">
                  <c:v>40.286498999999999</c:v>
                </c:pt>
                <c:pt idx="3">
                  <c:v>64.765974999999997</c:v>
                </c:pt>
                <c:pt idx="4">
                  <c:v>75.356570000000005</c:v>
                </c:pt>
                <c:pt idx="5">
                  <c:v>77.895181999999991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E-4281-88E6-F84F3EA7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RiskTable" displayName="ScenarioRiskTable" ref="A3:H9">
  <tableColumns count="8">
    <tableColumn id="1" xr3:uid="{00000000-0010-0000-0000-000001000000}" name="Scenario"/>
    <tableColumn id="2" xr3:uid="{00000000-0010-0000-0000-000002000000}" name="Concrete definition"/>
    <tableColumn id="3" xr3:uid="{00000000-0010-0000-0000-000003000000}" name="Matching days"/>
    <tableColumn id="4" xr3:uid="{00000000-0010-0000-0000-000004000000}" name="Empirical P(High PM2.5)"/>
    <tableColumn id="5" xr3:uid="{00000000-0010-0000-0000-000005000000}" name="BN P(High PM2.5)"/>
    <tableColumn id="6" xr3:uid="{00000000-0010-0000-0000-000006000000}" name="Delta vs baseline"/>
    <tableColumn id="7" xr3:uid="{00000000-0010-0000-0000-000007000000}" name="BN Probability (%)"/>
    <tableColumn id="8" xr3:uid="{00000000-0010-0000-0000-000008000000}" name="Delta (percentage point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tpointSummaryTable" displayName="CutpointSummaryTable" ref="A12:G21">
  <tableColumns count="7">
    <tableColumn id="1" xr3:uid="{00000000-0010-0000-0100-000001000000}" name="Variable"/>
    <tableColumn id="2" xr3:uid="{00000000-0010-0000-0100-000002000000}" name="Unit"/>
    <tableColumn id="3" xr3:uid="{00000000-0010-0000-0100-000003000000}" name="33.3% cutpoint"/>
    <tableColumn id="4" xr3:uid="{00000000-0010-0000-0100-000004000000}" name="66.7% cutpoint"/>
    <tableColumn id="5" xr3:uid="{00000000-0010-0000-0100-000005000000}" name="Low state"/>
    <tableColumn id="6" xr3:uid="{00000000-0010-0000-0100-000006000000}" name="Medium state"/>
    <tableColumn id="7" xr3:uid="{00000000-0010-0000-0100-000007000000}" name="High 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tpointsTable" displayName="CutpointsTable" ref="A3:G12">
  <tableColumns count="7">
    <tableColumn id="1" xr3:uid="{00000000-0010-0000-0200-000001000000}" name="Variable"/>
    <tableColumn id="2" xr3:uid="{00000000-0010-0000-0200-000002000000}" name="Unit"/>
    <tableColumn id="3" xr3:uid="{00000000-0010-0000-0200-000003000000}" name="33.3% cutpoint"/>
    <tableColumn id="4" xr3:uid="{00000000-0010-0000-0200-000004000000}" name="66.7% cutpoint"/>
    <tableColumn id="5" xr3:uid="{00000000-0010-0000-0200-000005000000}" name="Low state"/>
    <tableColumn id="6" xr3:uid="{00000000-0010-0000-0200-000006000000}" name="Medium state"/>
    <tableColumn id="7" xr3:uid="{00000000-0010-0000-0200-000007000000}" name="High 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NScenariosTable" displayName="BNScenariosTable" ref="A3:H9">
  <tableColumns count="8">
    <tableColumn id="1" xr3:uid="{00000000-0010-0000-0300-000001000000}" name="Scenario"/>
    <tableColumn id="2" xr3:uid="{00000000-0010-0000-0300-000002000000}" name="Concrete definition"/>
    <tableColumn id="3" xr3:uid="{00000000-0010-0000-0300-000003000000}" name="Matching days"/>
    <tableColumn id="4" xr3:uid="{00000000-0010-0000-0300-000004000000}" name="Empirical P(High PM2.5)"/>
    <tableColumn id="5" xr3:uid="{00000000-0010-0000-0300-000005000000}" name="BN P(High PM2.5)"/>
    <tableColumn id="6" xr3:uid="{00000000-0010-0000-0300-000006000000}" name="Delta vs baseline"/>
    <tableColumn id="7" xr3:uid="{00000000-0010-0000-0300-000007000000}" name="BN Probability (%)"/>
    <tableColumn id="8" xr3:uid="{00000000-0010-0000-0300-000008000000}" name="Delta (percentage point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eSensitivityTable" displayName="StateSensitivityTable" ref="A3:H29">
  <tableColumns count="8">
    <tableColumn id="1" xr3:uid="{00000000-0010-0000-0400-000001000000}" name="Variable"/>
    <tableColumn id="2" xr3:uid="{00000000-0010-0000-0400-000002000000}" name="Category"/>
    <tableColumn id="3" xr3:uid="{00000000-0010-0000-0400-000003000000}" name="State"/>
    <tableColumn id="4" xr3:uid="{00000000-0010-0000-0400-000004000000}" name="Days"/>
    <tableColumn id="5" xr3:uid="{00000000-0010-0000-0400-000005000000}" name="Empirical P(High PM2.5)"/>
    <tableColumn id="6" xr3:uid="{00000000-0010-0000-0400-000006000000}" name="BN P(High PM2.5)"/>
    <tableColumn id="7" xr3:uid="{00000000-0010-0000-0400-000007000000}" name="Delta vs baseline"/>
    <tableColumn id="8" xr3:uid="{00000000-0010-0000-0400-000008000000}" name="Abs delta (percentage point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nsitivityRankingTable" displayName="SensitivityRankingTable" ref="A3:J12">
  <tableColumns count="10">
    <tableColumn id="1" xr3:uid="{00000000-0010-0000-0500-000001000000}" name="Rank"/>
    <tableColumn id="2" xr3:uid="{00000000-0010-0000-0500-000002000000}" name="Variable"/>
    <tableColumn id="3" xr3:uid="{00000000-0010-0000-0500-000003000000}" name="Category"/>
    <tableColumn id="4" xr3:uid="{00000000-0010-0000-0500-000004000000}" name="Strongest state"/>
    <tableColumn id="5" xr3:uid="{00000000-0010-0000-0500-000005000000}" name="Strongest delta P"/>
    <tableColumn id="6" xr3:uid="{00000000-0010-0000-0500-000006000000}" name="Lowest-risk state"/>
    <tableColumn id="7" xr3:uid="{00000000-0010-0000-0500-000007000000}" name="Lowest BN P"/>
    <tableColumn id="8" xr3:uid="{00000000-0010-0000-0500-000008000000}" name="Highest-risk state"/>
    <tableColumn id="9" xr3:uid="{00000000-0010-0000-0500-000009000000}" name="Highest BN P"/>
    <tableColumn id="10" xr3:uid="{00000000-0010-0000-0500-00000A000000}" name="Probability ran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otesTable" displayName="NotesTable" ref="A3:D8">
  <tableColumns count="4">
    <tableColumn id="1" xr3:uid="{00000000-0010-0000-0600-000001000000}" name="Item"/>
    <tableColumn id="2" xr3:uid="{00000000-0010-0000-0600-000002000000}" name="Content"/>
    <tableColumn id="3" xr3:uid="{00000000-0010-0000-0600-000003000000}" name="Source file"/>
    <tableColumn id="4" xr3:uid="{00000000-0010-0000-0600-000004000000}" name="How to use in the re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85" zoomScaleNormal="85" workbookViewId="0">
      <selection activeCell="H16" sqref="H16"/>
    </sheetView>
  </sheetViews>
  <sheetFormatPr defaultRowHeight="14"/>
  <cols>
    <col min="1" max="1" width="26" customWidth="1"/>
    <col min="2" max="2" width="58" customWidth="1"/>
    <col min="3" max="4" width="18" customWidth="1"/>
    <col min="5" max="5" width="26" customWidth="1"/>
    <col min="6" max="6" width="32" customWidth="1"/>
    <col min="7" max="7" width="26" customWidth="1"/>
    <col min="8" max="8" width="20" customWidth="1"/>
    <col min="9" max="9" width="4" customWidth="1"/>
    <col min="10" max="10" width="26" customWidth="1"/>
    <col min="11" max="11" width="18" customWidth="1"/>
  </cols>
  <sheetData>
    <row r="1" spans="1:11" ht="20" customHeight="1">
      <c r="A1" s="13" t="s">
        <v>0</v>
      </c>
      <c r="B1" s="14"/>
      <c r="C1" s="14"/>
      <c r="D1" s="14"/>
      <c r="E1" s="14"/>
      <c r="F1" s="14"/>
      <c r="G1" s="14"/>
      <c r="H1" s="14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8.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1"/>
      <c r="J3" s="4" t="s">
        <v>1</v>
      </c>
      <c r="K3" s="4" t="s">
        <v>7</v>
      </c>
    </row>
    <row r="4" spans="1:11" ht="28" customHeight="1">
      <c r="A4" s="1" t="s">
        <v>9</v>
      </c>
      <c r="B4" s="1" t="s">
        <v>10</v>
      </c>
      <c r="C4" s="2">
        <v>1462</v>
      </c>
      <c r="D4" s="5">
        <v>0.33378933</v>
      </c>
      <c r="E4" s="5">
        <v>0.33378839999999999</v>
      </c>
      <c r="F4" s="5">
        <v>0</v>
      </c>
      <c r="G4" s="3">
        <v>33.378839999999997</v>
      </c>
      <c r="H4" s="3">
        <v>0</v>
      </c>
      <c r="I4" s="1"/>
      <c r="J4" s="1" t="s">
        <v>9</v>
      </c>
      <c r="K4" s="3">
        <v>33.378839999999997</v>
      </c>
    </row>
    <row r="5" spans="1:11" ht="28" customHeight="1">
      <c r="A5" s="9" t="s">
        <v>11</v>
      </c>
      <c r="B5" s="9" t="s">
        <v>12</v>
      </c>
      <c r="C5" s="10">
        <v>488</v>
      </c>
      <c r="D5" s="11">
        <v>0.41598361</v>
      </c>
      <c r="E5" s="11">
        <v>0.41548064000000001</v>
      </c>
      <c r="F5" s="11">
        <v>8.1692249999999994E-2</v>
      </c>
      <c r="G5" s="12">
        <v>41.548064000000004</v>
      </c>
      <c r="H5" s="12">
        <v>8.1692249999999991</v>
      </c>
      <c r="I5" s="1"/>
      <c r="J5" s="1" t="s">
        <v>11</v>
      </c>
      <c r="K5" s="3">
        <v>41.548064000000004</v>
      </c>
    </row>
    <row r="6" spans="1:11" ht="28" customHeight="1">
      <c r="A6" s="9" t="s">
        <v>13</v>
      </c>
      <c r="B6" s="9" t="s">
        <v>14</v>
      </c>
      <c r="C6" s="10">
        <v>486</v>
      </c>
      <c r="D6" s="11">
        <v>0.40329218</v>
      </c>
      <c r="E6" s="11">
        <v>0.40286498999999998</v>
      </c>
      <c r="F6" s="11">
        <v>6.9076600000000002E-2</v>
      </c>
      <c r="G6" s="12">
        <v>40.286498999999999</v>
      </c>
      <c r="H6" s="12">
        <v>6.9076599999999999</v>
      </c>
      <c r="I6" s="1"/>
      <c r="J6" s="1" t="s">
        <v>13</v>
      </c>
      <c r="K6" s="3">
        <v>40.286498999999999</v>
      </c>
    </row>
    <row r="7" spans="1:11" ht="28" customHeight="1">
      <c r="A7" s="9" t="s">
        <v>15</v>
      </c>
      <c r="B7" s="9" t="s">
        <v>16</v>
      </c>
      <c r="C7" s="10">
        <v>488</v>
      </c>
      <c r="D7" s="11">
        <v>0.64959016000000003</v>
      </c>
      <c r="E7" s="11">
        <v>0.64765974999999998</v>
      </c>
      <c r="F7" s="11">
        <v>0.31387134999999999</v>
      </c>
      <c r="G7" s="12">
        <v>64.765974999999997</v>
      </c>
      <c r="H7" s="12">
        <v>31.387135000000001</v>
      </c>
      <c r="I7" s="1"/>
      <c r="J7" s="1" t="s">
        <v>15</v>
      </c>
      <c r="K7" s="3">
        <v>64.765974999999997</v>
      </c>
    </row>
    <row r="8" spans="1:11" ht="28" customHeight="1">
      <c r="A8" s="9" t="s">
        <v>17</v>
      </c>
      <c r="B8" s="9" t="s">
        <v>18</v>
      </c>
      <c r="C8" s="10">
        <v>488</v>
      </c>
      <c r="D8" s="11">
        <v>0.75614753999999995</v>
      </c>
      <c r="E8" s="11">
        <v>0.7535657</v>
      </c>
      <c r="F8" s="11">
        <v>0.41977731000000001</v>
      </c>
      <c r="G8" s="12">
        <v>75.356570000000005</v>
      </c>
      <c r="H8" s="12">
        <v>41.977730999999999</v>
      </c>
      <c r="I8" s="1"/>
      <c r="J8" s="1" t="s">
        <v>17</v>
      </c>
      <c r="K8" s="3">
        <v>75.356570000000005</v>
      </c>
    </row>
    <row r="9" spans="1:11" ht="28" customHeight="1">
      <c r="A9" s="9" t="s">
        <v>19</v>
      </c>
      <c r="B9" s="9" t="s">
        <v>20</v>
      </c>
      <c r="C9" s="10">
        <v>242</v>
      </c>
      <c r="D9" s="11">
        <v>0.73553718999999995</v>
      </c>
      <c r="E9" s="11">
        <v>0.77895181999999996</v>
      </c>
      <c r="F9" s="11">
        <v>0.44516343000000003</v>
      </c>
      <c r="G9" s="12">
        <v>77.895181999999991</v>
      </c>
      <c r="H9" s="12">
        <v>44.516343000000006</v>
      </c>
      <c r="I9" s="1"/>
      <c r="J9" s="1" t="s">
        <v>19</v>
      </c>
      <c r="K9" s="3">
        <v>77.895181999999991</v>
      </c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6.5" customHeight="1">
      <c r="A12" s="8" t="s">
        <v>21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26</v>
      </c>
      <c r="G12" s="8" t="s">
        <v>27</v>
      </c>
      <c r="H12" s="6"/>
      <c r="I12" s="1"/>
      <c r="J12" s="1"/>
      <c r="K12" s="1"/>
    </row>
    <row r="13" spans="1:11" ht="25.4" customHeight="1">
      <c r="A13" s="1" t="s">
        <v>28</v>
      </c>
      <c r="B13" s="1" t="s">
        <v>29</v>
      </c>
      <c r="C13" s="3">
        <v>15.416666666666666</v>
      </c>
      <c r="D13" s="3">
        <v>32.240476190476173</v>
      </c>
      <c r="E13" s="1" t="s">
        <v>30</v>
      </c>
      <c r="F13" s="1" t="s">
        <v>31</v>
      </c>
      <c r="G13" s="1" t="s">
        <v>32</v>
      </c>
      <c r="H13" s="7"/>
      <c r="I13" s="1"/>
      <c r="J13" s="1"/>
      <c r="K13" s="1"/>
    </row>
    <row r="14" spans="1:11" ht="25.4" customHeight="1">
      <c r="A14" s="1" t="s">
        <v>33</v>
      </c>
      <c r="B14" s="1" t="s">
        <v>34</v>
      </c>
      <c r="C14" s="3">
        <v>5.4699999999999944</v>
      </c>
      <c r="D14" s="3">
        <v>20.629999999999995</v>
      </c>
      <c r="E14" s="1" t="s">
        <v>35</v>
      </c>
      <c r="F14" s="1" t="s">
        <v>36</v>
      </c>
      <c r="G14" s="1" t="s">
        <v>37</v>
      </c>
      <c r="H14" s="7"/>
      <c r="I14" s="1"/>
      <c r="J14" s="1"/>
      <c r="K14" s="1"/>
    </row>
    <row r="15" spans="1:11" ht="25.4" customHeight="1">
      <c r="A15" s="1" t="s">
        <v>38</v>
      </c>
      <c r="B15" s="1" t="s">
        <v>39</v>
      </c>
      <c r="C15" s="3">
        <v>49.31</v>
      </c>
      <c r="D15" s="3">
        <v>67.290000000000006</v>
      </c>
      <c r="E15" s="1" t="s">
        <v>40</v>
      </c>
      <c r="F15" s="1" t="s">
        <v>41</v>
      </c>
      <c r="G15" s="1" t="s">
        <v>42</v>
      </c>
      <c r="H15" s="7"/>
      <c r="I15" s="1"/>
      <c r="J15" s="1"/>
      <c r="K15" s="1"/>
    </row>
    <row r="16" spans="1:11" ht="25.4" customHeight="1">
      <c r="A16" s="1" t="s">
        <v>43</v>
      </c>
      <c r="B16" s="1" t="s">
        <v>44</v>
      </c>
      <c r="C16" s="3">
        <v>1.65</v>
      </c>
      <c r="D16" s="3">
        <v>2.4</v>
      </c>
      <c r="E16" s="1" t="s">
        <v>45</v>
      </c>
      <c r="F16" s="1" t="s">
        <v>46</v>
      </c>
      <c r="G16" s="1" t="s">
        <v>47</v>
      </c>
      <c r="H16" s="7"/>
      <c r="I16" s="1"/>
      <c r="J16" s="1"/>
      <c r="K16" s="1"/>
    </row>
    <row r="17" spans="1:11" ht="25.4" customHeight="1">
      <c r="A17" s="1" t="s">
        <v>48</v>
      </c>
      <c r="B17" s="1" t="s">
        <v>49</v>
      </c>
      <c r="C17" s="3">
        <v>0.37773809523809515</v>
      </c>
      <c r="D17" s="3">
        <v>0.54190476190476178</v>
      </c>
      <c r="E17" s="1" t="s">
        <v>50</v>
      </c>
      <c r="F17" s="1" t="s">
        <v>51</v>
      </c>
      <c r="G17" s="1" t="s">
        <v>52</v>
      </c>
      <c r="H17" s="7"/>
      <c r="I17" s="1"/>
      <c r="J17" s="1"/>
      <c r="K17" s="1"/>
    </row>
    <row r="18" spans="1:11" ht="25.4" customHeight="1">
      <c r="A18" s="1" t="s">
        <v>53</v>
      </c>
      <c r="B18" s="1" t="s">
        <v>29</v>
      </c>
      <c r="C18" s="3">
        <v>15.909523809523808</v>
      </c>
      <c r="D18" s="3">
        <v>25.922619047619033</v>
      </c>
      <c r="E18" s="1" t="s">
        <v>54</v>
      </c>
      <c r="F18" s="1" t="s">
        <v>55</v>
      </c>
      <c r="G18" s="1" t="s">
        <v>56</v>
      </c>
      <c r="H18" s="7"/>
      <c r="I18" s="1"/>
      <c r="J18" s="1"/>
      <c r="K18" s="1"/>
    </row>
    <row r="19" spans="1:11" ht="25.4" customHeight="1">
      <c r="A19" s="1" t="s">
        <v>57</v>
      </c>
      <c r="B19" s="1" t="s">
        <v>29</v>
      </c>
      <c r="C19" s="3">
        <v>2.532142857142857</v>
      </c>
      <c r="D19" s="3">
        <v>2.9654761904761902</v>
      </c>
      <c r="E19" s="1" t="s">
        <v>58</v>
      </c>
      <c r="F19" s="1" t="s">
        <v>59</v>
      </c>
      <c r="G19" s="1" t="s">
        <v>60</v>
      </c>
      <c r="H19" s="7"/>
      <c r="I19" s="1"/>
      <c r="J19" s="1"/>
      <c r="K19" s="1"/>
    </row>
    <row r="20" spans="1:11" ht="25.4" customHeight="1">
      <c r="A20" s="1" t="s">
        <v>61</v>
      </c>
      <c r="B20" s="1" t="s">
        <v>29</v>
      </c>
      <c r="C20" s="3">
        <v>44.565476190476183</v>
      </c>
      <c r="D20" s="3">
        <v>73.034523809523776</v>
      </c>
      <c r="E20" s="1" t="s">
        <v>62</v>
      </c>
      <c r="F20" s="1" t="s">
        <v>63</v>
      </c>
      <c r="G20" s="1" t="s">
        <v>64</v>
      </c>
      <c r="H20" s="7"/>
      <c r="I20" s="1"/>
      <c r="J20" s="1"/>
      <c r="K20" s="1"/>
    </row>
    <row r="21" spans="1:11" ht="25.4" customHeight="1">
      <c r="A21" s="1" t="s">
        <v>65</v>
      </c>
      <c r="B21" s="1" t="s">
        <v>29</v>
      </c>
      <c r="C21" s="3">
        <v>33.295238095238091</v>
      </c>
      <c r="D21" s="3">
        <v>62.295238095238076</v>
      </c>
      <c r="E21" s="1" t="s">
        <v>66</v>
      </c>
      <c r="F21" s="1" t="s">
        <v>67</v>
      </c>
      <c r="G21" s="1" t="s">
        <v>68</v>
      </c>
      <c r="H21" s="7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0" customHeight="1">
      <c r="A24" s="15"/>
      <c r="B24" s="16"/>
      <c r="C24" s="16"/>
      <c r="D24" s="16"/>
      <c r="E24" s="16"/>
      <c r="F24" s="16"/>
      <c r="G24" s="16"/>
      <c r="H24" s="16"/>
      <c r="I24" s="1"/>
      <c r="J24" s="1"/>
      <c r="K24" s="1"/>
    </row>
    <row r="25" spans="1:11" ht="10" customHeight="1">
      <c r="A25" s="17"/>
      <c r="B25" s="17"/>
      <c r="C25" s="17"/>
      <c r="D25" s="17"/>
      <c r="E25" s="17"/>
      <c r="F25" s="17"/>
      <c r="G25" s="17"/>
      <c r="H25" s="17"/>
      <c r="I25" s="1"/>
      <c r="J25" s="1"/>
      <c r="K25" s="1"/>
    </row>
    <row r="26" spans="1:11" ht="10" customHeight="1">
      <c r="A26" s="17"/>
      <c r="B26" s="17"/>
      <c r="C26" s="17"/>
      <c r="D26" s="17"/>
      <c r="E26" s="17"/>
      <c r="F26" s="17"/>
      <c r="G26" s="17"/>
      <c r="H26" s="17"/>
    </row>
    <row r="27" spans="1:11" ht="10" customHeight="1">
      <c r="A27" s="17"/>
      <c r="B27" s="17"/>
      <c r="C27" s="17"/>
      <c r="D27" s="17"/>
      <c r="E27" s="17"/>
      <c r="F27" s="17"/>
      <c r="G27" s="17"/>
      <c r="H27" s="17"/>
    </row>
  </sheetData>
  <mergeCells count="3">
    <mergeCell ref="A1:H1"/>
    <mergeCell ref="A24:H24"/>
    <mergeCell ref="A25:H27"/>
  </mergeCells>
  <phoneticPr fontId="6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4"/>
  <cols>
    <col min="1" max="1" width="20" customWidth="1"/>
    <col min="2" max="2" width="14" customWidth="1"/>
    <col min="3" max="4" width="18" customWidth="1"/>
    <col min="5" max="5" width="24" customWidth="1"/>
    <col min="6" max="6" width="32" customWidth="1"/>
    <col min="7" max="7" width="24" customWidth="1"/>
  </cols>
  <sheetData>
    <row r="1" spans="1:7" ht="20" customHeight="1">
      <c r="A1" s="13" t="s">
        <v>69</v>
      </c>
      <c r="B1" s="14"/>
      <c r="C1" s="14"/>
      <c r="D1" s="14"/>
      <c r="E1" s="14"/>
      <c r="F1" s="14"/>
      <c r="G1" s="14"/>
    </row>
    <row r="2" spans="1:7">
      <c r="A2" s="1"/>
      <c r="B2" s="1"/>
      <c r="C2" s="1"/>
      <c r="D2" s="1"/>
      <c r="E2" s="1"/>
      <c r="F2" s="1"/>
      <c r="G2" s="1"/>
    </row>
    <row r="3" spans="1:7" ht="10" customHeight="1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</row>
    <row r="4" spans="1:7" ht="21.4" customHeight="1">
      <c r="A4" s="1" t="s">
        <v>28</v>
      </c>
      <c r="B4" s="1" t="s">
        <v>29</v>
      </c>
      <c r="C4" s="3">
        <v>15.416666666666666</v>
      </c>
      <c r="D4" s="3">
        <v>32.240476190476173</v>
      </c>
      <c r="E4" s="1" t="s">
        <v>30</v>
      </c>
      <c r="F4" s="1" t="s">
        <v>31</v>
      </c>
      <c r="G4" s="1" t="s">
        <v>32</v>
      </c>
    </row>
    <row r="5" spans="1:7" ht="21.4" customHeight="1">
      <c r="A5" s="1" t="s">
        <v>33</v>
      </c>
      <c r="B5" s="1" t="s">
        <v>34</v>
      </c>
      <c r="C5" s="3">
        <v>5.4699999999999944</v>
      </c>
      <c r="D5" s="3">
        <v>20.629999999999995</v>
      </c>
      <c r="E5" s="1" t="s">
        <v>35</v>
      </c>
      <c r="F5" s="1" t="s">
        <v>36</v>
      </c>
      <c r="G5" s="1" t="s">
        <v>37</v>
      </c>
    </row>
    <row r="6" spans="1:7" ht="21.4" customHeight="1">
      <c r="A6" s="1" t="s">
        <v>38</v>
      </c>
      <c r="B6" s="1" t="s">
        <v>39</v>
      </c>
      <c r="C6" s="3">
        <v>49.31</v>
      </c>
      <c r="D6" s="3">
        <v>67.290000000000006</v>
      </c>
      <c r="E6" s="1" t="s">
        <v>40</v>
      </c>
      <c r="F6" s="1" t="s">
        <v>41</v>
      </c>
      <c r="G6" s="1" t="s">
        <v>42</v>
      </c>
    </row>
    <row r="7" spans="1:7" ht="21.4" customHeight="1">
      <c r="A7" s="1" t="s">
        <v>43</v>
      </c>
      <c r="B7" s="1" t="s">
        <v>44</v>
      </c>
      <c r="C7" s="3">
        <v>1.65</v>
      </c>
      <c r="D7" s="3">
        <v>2.4</v>
      </c>
      <c r="E7" s="1" t="s">
        <v>45</v>
      </c>
      <c r="F7" s="1" t="s">
        <v>46</v>
      </c>
      <c r="G7" s="1" t="s">
        <v>47</v>
      </c>
    </row>
    <row r="8" spans="1:7" ht="21.4" customHeight="1">
      <c r="A8" s="1" t="s">
        <v>48</v>
      </c>
      <c r="B8" s="1" t="s">
        <v>49</v>
      </c>
      <c r="C8" s="3">
        <v>0.37773809523809515</v>
      </c>
      <c r="D8" s="3">
        <v>0.54190476190476178</v>
      </c>
      <c r="E8" s="1" t="s">
        <v>50</v>
      </c>
      <c r="F8" s="1" t="s">
        <v>51</v>
      </c>
      <c r="G8" s="1" t="s">
        <v>52</v>
      </c>
    </row>
    <row r="9" spans="1:7" ht="21.4" customHeight="1">
      <c r="A9" s="1" t="s">
        <v>53</v>
      </c>
      <c r="B9" s="1" t="s">
        <v>29</v>
      </c>
      <c r="C9" s="3">
        <v>15.909523809523808</v>
      </c>
      <c r="D9" s="3">
        <v>25.922619047619033</v>
      </c>
      <c r="E9" s="1" t="s">
        <v>54</v>
      </c>
      <c r="F9" s="1" t="s">
        <v>55</v>
      </c>
      <c r="G9" s="1" t="s">
        <v>56</v>
      </c>
    </row>
    <row r="10" spans="1:7" ht="21.4" customHeight="1">
      <c r="A10" s="1" t="s">
        <v>57</v>
      </c>
      <c r="B10" s="1" t="s">
        <v>29</v>
      </c>
      <c r="C10" s="3">
        <v>2.532142857142857</v>
      </c>
      <c r="D10" s="3">
        <v>2.9654761904761902</v>
      </c>
      <c r="E10" s="1" t="s">
        <v>58</v>
      </c>
      <c r="F10" s="1" t="s">
        <v>59</v>
      </c>
      <c r="G10" s="1" t="s">
        <v>60</v>
      </c>
    </row>
    <row r="11" spans="1:7" ht="21.4" customHeight="1">
      <c r="A11" s="1" t="s">
        <v>61</v>
      </c>
      <c r="B11" s="1" t="s">
        <v>29</v>
      </c>
      <c r="C11" s="3">
        <v>44.565476190476183</v>
      </c>
      <c r="D11" s="3">
        <v>73.034523809523776</v>
      </c>
      <c r="E11" s="1" t="s">
        <v>62</v>
      </c>
      <c r="F11" s="1" t="s">
        <v>63</v>
      </c>
      <c r="G11" s="1" t="s">
        <v>64</v>
      </c>
    </row>
    <row r="12" spans="1:7" ht="21.4" customHeight="1">
      <c r="A12" s="1" t="s">
        <v>65</v>
      </c>
      <c r="B12" s="1" t="s">
        <v>29</v>
      </c>
      <c r="C12" s="3">
        <v>33.295238095238091</v>
      </c>
      <c r="D12" s="3">
        <v>62.295238095238076</v>
      </c>
      <c r="E12" s="1" t="s">
        <v>66</v>
      </c>
      <c r="F12" s="1" t="s">
        <v>67</v>
      </c>
      <c r="G12" s="1" t="s">
        <v>68</v>
      </c>
    </row>
  </sheetData>
  <mergeCells count="1">
    <mergeCell ref="A1:G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"/>
  <cols>
    <col min="1" max="1" width="28" customWidth="1"/>
    <col min="2" max="2" width="58" customWidth="1"/>
    <col min="3" max="3" width="14" customWidth="1"/>
    <col min="4" max="5" width="22" customWidth="1"/>
    <col min="6" max="7" width="18" customWidth="1"/>
    <col min="8" max="8" width="22" customWidth="1"/>
  </cols>
  <sheetData>
    <row r="1" spans="1:8" ht="20" customHeight="1">
      <c r="A1" s="13" t="s">
        <v>70</v>
      </c>
      <c r="B1" s="14"/>
      <c r="C1" s="14"/>
      <c r="D1" s="14"/>
      <c r="E1" s="14"/>
      <c r="F1" s="14"/>
      <c r="G1" s="14"/>
      <c r="H1" s="14"/>
    </row>
    <row r="2" spans="1:8">
      <c r="A2" s="1"/>
      <c r="B2" s="1"/>
      <c r="C2" s="1"/>
      <c r="D2" s="1"/>
      <c r="E2" s="1"/>
      <c r="F2" s="1"/>
      <c r="G2" s="1"/>
      <c r="H2" s="1"/>
    </row>
    <row r="3" spans="1:8" ht="1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ht="28" customHeight="1">
      <c r="A4" s="1" t="s">
        <v>9</v>
      </c>
      <c r="B4" s="1" t="s">
        <v>10</v>
      </c>
      <c r="C4" s="2">
        <v>1462</v>
      </c>
      <c r="D4" s="5">
        <v>0.33378933</v>
      </c>
      <c r="E4" s="5">
        <v>0.33378839999999999</v>
      </c>
      <c r="F4" s="5">
        <v>0</v>
      </c>
      <c r="G4" s="3">
        <v>33.378839999999997</v>
      </c>
      <c r="H4" s="3">
        <v>0</v>
      </c>
    </row>
    <row r="5" spans="1:8" ht="28" customHeight="1">
      <c r="A5" s="1" t="s">
        <v>11</v>
      </c>
      <c r="B5" s="1" t="s">
        <v>12</v>
      </c>
      <c r="C5" s="2">
        <v>488</v>
      </c>
      <c r="D5" s="5">
        <v>0.41598361</v>
      </c>
      <c r="E5" s="5">
        <v>0.41548064000000001</v>
      </c>
      <c r="F5" s="5">
        <v>8.1692249999999994E-2</v>
      </c>
      <c r="G5" s="3">
        <v>41.548064000000004</v>
      </c>
      <c r="H5" s="3">
        <v>8.1692249999999991</v>
      </c>
    </row>
    <row r="6" spans="1:8" ht="28" customHeight="1">
      <c r="A6" s="1" t="s">
        <v>13</v>
      </c>
      <c r="B6" s="1" t="s">
        <v>14</v>
      </c>
      <c r="C6" s="2">
        <v>486</v>
      </c>
      <c r="D6" s="5">
        <v>0.40329218</v>
      </c>
      <c r="E6" s="5">
        <v>0.40286498999999998</v>
      </c>
      <c r="F6" s="5">
        <v>6.9076600000000002E-2</v>
      </c>
      <c r="G6" s="3">
        <v>40.286498999999999</v>
      </c>
      <c r="H6" s="3">
        <v>6.9076599999999999</v>
      </c>
    </row>
    <row r="7" spans="1:8" ht="28" customHeight="1">
      <c r="A7" s="1" t="s">
        <v>15</v>
      </c>
      <c r="B7" s="1" t="s">
        <v>16</v>
      </c>
      <c r="C7" s="2">
        <v>488</v>
      </c>
      <c r="D7" s="5">
        <v>0.64959016000000003</v>
      </c>
      <c r="E7" s="5">
        <v>0.64765974999999998</v>
      </c>
      <c r="F7" s="5">
        <v>0.31387134999999999</v>
      </c>
      <c r="G7" s="3">
        <v>64.765974999999997</v>
      </c>
      <c r="H7" s="3">
        <v>31.387135000000001</v>
      </c>
    </row>
    <row r="8" spans="1:8" ht="28" customHeight="1">
      <c r="A8" s="1" t="s">
        <v>17</v>
      </c>
      <c r="B8" s="1" t="s">
        <v>18</v>
      </c>
      <c r="C8" s="2">
        <v>488</v>
      </c>
      <c r="D8" s="5">
        <v>0.75614753999999995</v>
      </c>
      <c r="E8" s="5">
        <v>0.7535657</v>
      </c>
      <c r="F8" s="5">
        <v>0.41977731000000001</v>
      </c>
      <c r="G8" s="3">
        <v>75.356570000000005</v>
      </c>
      <c r="H8" s="3">
        <v>41.977730999999999</v>
      </c>
    </row>
    <row r="9" spans="1:8" ht="28" customHeight="1">
      <c r="A9" s="1" t="s">
        <v>19</v>
      </c>
      <c r="B9" s="1" t="s">
        <v>20</v>
      </c>
      <c r="C9" s="2">
        <v>242</v>
      </c>
      <c r="D9" s="5">
        <v>0.73553718999999995</v>
      </c>
      <c r="E9" s="5">
        <v>0.77895181999999996</v>
      </c>
      <c r="F9" s="5">
        <v>0.44516343000000003</v>
      </c>
      <c r="G9" s="3">
        <v>77.895181999999991</v>
      </c>
      <c r="H9" s="3">
        <v>44.516343000000006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/>
  </sheetViews>
  <sheetFormatPr defaultRowHeight="14"/>
  <cols>
    <col min="1" max="1" width="20" customWidth="1"/>
    <col min="2" max="2" width="22" customWidth="1"/>
    <col min="3" max="3" width="14" customWidth="1"/>
    <col min="4" max="4" width="12" customWidth="1"/>
    <col min="5" max="6" width="22" customWidth="1"/>
    <col min="7" max="7" width="18" customWidth="1"/>
    <col min="8" max="8" width="26" customWidth="1"/>
  </cols>
  <sheetData>
    <row r="1" spans="1:8" ht="20" customHeight="1">
      <c r="A1" s="13" t="s">
        <v>71</v>
      </c>
      <c r="B1" s="14"/>
      <c r="C1" s="14"/>
      <c r="D1" s="14"/>
      <c r="E1" s="14"/>
      <c r="F1" s="14"/>
      <c r="G1" s="14"/>
      <c r="H1" s="14"/>
    </row>
    <row r="2" spans="1:8">
      <c r="A2" s="1"/>
      <c r="B2" s="1"/>
      <c r="C2" s="1"/>
      <c r="D2" s="1"/>
      <c r="E2" s="1"/>
      <c r="F2" s="1"/>
      <c r="G2" s="1"/>
      <c r="H2" s="1"/>
    </row>
    <row r="3" spans="1:8" ht="10" customHeight="1">
      <c r="A3" s="4" t="s">
        <v>21</v>
      </c>
      <c r="B3" s="4" t="s">
        <v>72</v>
      </c>
      <c r="C3" s="4" t="s">
        <v>73</v>
      </c>
      <c r="D3" s="4" t="s">
        <v>74</v>
      </c>
      <c r="E3" s="4" t="s">
        <v>4</v>
      </c>
      <c r="F3" s="4" t="s">
        <v>5</v>
      </c>
      <c r="G3" s="4" t="s">
        <v>6</v>
      </c>
      <c r="H3" s="4" t="s">
        <v>75</v>
      </c>
    </row>
    <row r="4" spans="1:8" ht="18.649999999999999" customHeight="1">
      <c r="A4" s="1" t="s">
        <v>33</v>
      </c>
      <c r="B4" s="1" t="s">
        <v>76</v>
      </c>
      <c r="C4" s="1" t="s">
        <v>77</v>
      </c>
      <c r="D4" s="2">
        <v>487</v>
      </c>
      <c r="E4" s="5">
        <v>0.3613963</v>
      </c>
      <c r="F4" s="5">
        <v>0.36122641999999999</v>
      </c>
      <c r="G4" s="5">
        <v>2.743802E-2</v>
      </c>
      <c r="H4" s="3">
        <v>2.7438020000000001</v>
      </c>
    </row>
    <row r="5" spans="1:8" ht="18.649999999999999" customHeight="1">
      <c r="A5" s="1" t="s">
        <v>33</v>
      </c>
      <c r="B5" s="1" t="s">
        <v>76</v>
      </c>
      <c r="C5" s="1" t="s">
        <v>78</v>
      </c>
      <c r="D5" s="2">
        <v>487</v>
      </c>
      <c r="E5" s="5">
        <v>0.42505133</v>
      </c>
      <c r="F5" s="5">
        <v>0.42449184000000001</v>
      </c>
      <c r="G5" s="5">
        <v>9.0703439999999996E-2</v>
      </c>
      <c r="H5" s="3">
        <v>9.0703440000000004</v>
      </c>
    </row>
    <row r="6" spans="1:8" ht="18.649999999999999" customHeight="1">
      <c r="A6" s="1" t="s">
        <v>33</v>
      </c>
      <c r="B6" s="1" t="s">
        <v>76</v>
      </c>
      <c r="C6" s="1" t="s">
        <v>79</v>
      </c>
      <c r="D6" s="2">
        <v>488</v>
      </c>
      <c r="E6" s="5">
        <v>0.21516393</v>
      </c>
      <c r="F6" s="5">
        <v>0.21588736</v>
      </c>
      <c r="G6" s="5">
        <v>-0.11790104</v>
      </c>
      <c r="H6" s="3">
        <v>11.790103999999999</v>
      </c>
    </row>
    <row r="7" spans="1:8" ht="18.649999999999999" customHeight="1">
      <c r="A7" s="1" t="s">
        <v>38</v>
      </c>
      <c r="B7" s="1" t="s">
        <v>76</v>
      </c>
      <c r="C7" s="1" t="s">
        <v>77</v>
      </c>
      <c r="D7" s="2">
        <v>488</v>
      </c>
      <c r="E7" s="5">
        <v>0.19672131000000001</v>
      </c>
      <c r="F7" s="5">
        <v>0.19755733</v>
      </c>
      <c r="G7" s="5">
        <v>-0.13623105999999999</v>
      </c>
      <c r="H7" s="3">
        <v>13.623105999999998</v>
      </c>
    </row>
    <row r="8" spans="1:8" ht="18.649999999999999" customHeight="1">
      <c r="A8" s="1" t="s">
        <v>38</v>
      </c>
      <c r="B8" s="1" t="s">
        <v>76</v>
      </c>
      <c r="C8" s="1" t="s">
        <v>78</v>
      </c>
      <c r="D8" s="2">
        <v>488</v>
      </c>
      <c r="E8" s="5">
        <v>0.40163934000000001</v>
      </c>
      <c r="F8" s="5">
        <v>0.40122400000000003</v>
      </c>
      <c r="G8" s="5">
        <v>6.7435610000000007E-2</v>
      </c>
      <c r="H8" s="3">
        <v>6.7435610000000006</v>
      </c>
    </row>
    <row r="9" spans="1:8" ht="18.649999999999999" customHeight="1">
      <c r="A9" s="1" t="s">
        <v>38</v>
      </c>
      <c r="B9" s="1" t="s">
        <v>76</v>
      </c>
      <c r="C9" s="1" t="s">
        <v>79</v>
      </c>
      <c r="D9" s="2">
        <v>486</v>
      </c>
      <c r="E9" s="5">
        <v>0.40329218</v>
      </c>
      <c r="F9" s="5">
        <v>0.40286498999999998</v>
      </c>
      <c r="G9" s="5">
        <v>6.9076600000000002E-2</v>
      </c>
      <c r="H9" s="3">
        <v>6.9076599999999999</v>
      </c>
    </row>
    <row r="10" spans="1:8" ht="18.649999999999999" customHeight="1">
      <c r="A10" s="1" t="s">
        <v>43</v>
      </c>
      <c r="B10" s="1" t="s">
        <v>76</v>
      </c>
      <c r="C10" s="1" t="s">
        <v>77</v>
      </c>
      <c r="D10" s="2">
        <v>488</v>
      </c>
      <c r="E10" s="5">
        <v>0.41598361</v>
      </c>
      <c r="F10" s="5">
        <v>0.41548064000000001</v>
      </c>
      <c r="G10" s="5">
        <v>8.1692249999999994E-2</v>
      </c>
      <c r="H10" s="3">
        <v>8.1692249999999991</v>
      </c>
    </row>
    <row r="11" spans="1:8" ht="18.649999999999999" customHeight="1">
      <c r="A11" s="1" t="s">
        <v>43</v>
      </c>
      <c r="B11" s="1" t="s">
        <v>76</v>
      </c>
      <c r="C11" s="1" t="s">
        <v>78</v>
      </c>
      <c r="D11" s="2">
        <v>487</v>
      </c>
      <c r="E11" s="5">
        <v>0.34291580999999999</v>
      </c>
      <c r="F11" s="5">
        <v>0.34285902000000001</v>
      </c>
      <c r="G11" s="5">
        <v>9.0706299999999997E-3</v>
      </c>
      <c r="H11" s="3">
        <v>0.90706299999999995</v>
      </c>
    </row>
    <row r="12" spans="1:8" ht="18.649999999999999" customHeight="1">
      <c r="A12" s="1" t="s">
        <v>43</v>
      </c>
      <c r="B12" s="1" t="s">
        <v>76</v>
      </c>
      <c r="C12" s="1" t="s">
        <v>79</v>
      </c>
      <c r="D12" s="2">
        <v>487</v>
      </c>
      <c r="E12" s="5">
        <v>0.24229978999999999</v>
      </c>
      <c r="F12" s="5">
        <v>0.24285867999999999</v>
      </c>
      <c r="G12" s="5">
        <v>-9.0929720000000006E-2</v>
      </c>
      <c r="H12" s="3">
        <v>9.0929720000000014</v>
      </c>
    </row>
    <row r="13" spans="1:8" ht="18.649999999999999" customHeight="1">
      <c r="A13" s="1" t="s">
        <v>80</v>
      </c>
      <c r="B13" s="1" t="s">
        <v>76</v>
      </c>
      <c r="C13" s="1" t="s">
        <v>81</v>
      </c>
      <c r="D13" s="2">
        <v>762</v>
      </c>
      <c r="E13" s="5">
        <v>0.35170604</v>
      </c>
      <c r="F13" s="5">
        <v>0.35163494000000001</v>
      </c>
      <c r="G13" s="5">
        <v>1.7846540000000001E-2</v>
      </c>
      <c r="H13" s="3">
        <v>1.7846540000000002</v>
      </c>
    </row>
    <row r="14" spans="1:8" ht="18.649999999999999" customHeight="1">
      <c r="A14" s="1" t="s">
        <v>80</v>
      </c>
      <c r="B14" s="1" t="s">
        <v>76</v>
      </c>
      <c r="C14" s="1" t="s">
        <v>82</v>
      </c>
      <c r="D14" s="2">
        <v>700</v>
      </c>
      <c r="E14" s="5">
        <v>0.31428571</v>
      </c>
      <c r="F14" s="5">
        <v>0.31436789999999998</v>
      </c>
      <c r="G14" s="5">
        <v>-1.94205E-2</v>
      </c>
      <c r="H14" s="3">
        <v>1.9420500000000001</v>
      </c>
    </row>
    <row r="15" spans="1:8" ht="18.649999999999999" customHeight="1">
      <c r="A15" s="1" t="s">
        <v>48</v>
      </c>
      <c r="B15" s="1" t="s">
        <v>83</v>
      </c>
      <c r="C15" s="1" t="s">
        <v>77</v>
      </c>
      <c r="D15" s="2">
        <v>487</v>
      </c>
      <c r="E15" s="5">
        <v>3.080082E-2</v>
      </c>
      <c r="F15" s="5">
        <v>3.265332E-2</v>
      </c>
      <c r="G15" s="5">
        <v>-0.30113507</v>
      </c>
      <c r="H15" s="3">
        <v>30.113507000000002</v>
      </c>
    </row>
    <row r="16" spans="1:8" ht="18.649999999999999" customHeight="1">
      <c r="A16" s="1" t="s">
        <v>48</v>
      </c>
      <c r="B16" s="1" t="s">
        <v>83</v>
      </c>
      <c r="C16" s="1" t="s">
        <v>78</v>
      </c>
      <c r="D16" s="2">
        <v>487</v>
      </c>
      <c r="E16" s="5">
        <v>0.21355236</v>
      </c>
      <c r="F16" s="5">
        <v>0.21428712</v>
      </c>
      <c r="G16" s="5">
        <v>-0.11950128</v>
      </c>
      <c r="H16" s="3">
        <v>11.950127999999999</v>
      </c>
    </row>
    <row r="17" spans="1:8" ht="18.649999999999999" customHeight="1">
      <c r="A17" s="1" t="s">
        <v>48</v>
      </c>
      <c r="B17" s="1" t="s">
        <v>83</v>
      </c>
      <c r="C17" s="1" t="s">
        <v>79</v>
      </c>
      <c r="D17" s="2">
        <v>488</v>
      </c>
      <c r="E17" s="5">
        <v>0.75614753999999995</v>
      </c>
      <c r="F17" s="5">
        <v>0.7535657</v>
      </c>
      <c r="G17" s="5">
        <v>0.41977731000000001</v>
      </c>
      <c r="H17" s="3">
        <v>41.977730999999999</v>
      </c>
    </row>
    <row r="18" spans="1:8" ht="18.649999999999999" customHeight="1">
      <c r="A18" s="1" t="s">
        <v>84</v>
      </c>
      <c r="B18" s="1" t="s">
        <v>83</v>
      </c>
      <c r="C18" s="1" t="s">
        <v>77</v>
      </c>
      <c r="D18" s="2">
        <v>488</v>
      </c>
      <c r="E18" s="5">
        <v>0.1045082</v>
      </c>
      <c r="F18" s="5">
        <v>0.1059071</v>
      </c>
      <c r="G18" s="5">
        <v>-0.22788128999999999</v>
      </c>
      <c r="H18" s="3">
        <v>22.788128999999998</v>
      </c>
    </row>
    <row r="19" spans="1:8" ht="18.649999999999999" customHeight="1">
      <c r="A19" s="1" t="s">
        <v>84</v>
      </c>
      <c r="B19" s="1" t="s">
        <v>83</v>
      </c>
      <c r="C19" s="1" t="s">
        <v>78</v>
      </c>
      <c r="D19" s="2">
        <v>486</v>
      </c>
      <c r="E19" s="5">
        <v>0.24691357999999999</v>
      </c>
      <c r="F19" s="5">
        <v>0.24744532</v>
      </c>
      <c r="G19" s="5">
        <v>-8.6343080000000003E-2</v>
      </c>
      <c r="H19" s="3">
        <v>8.6343080000000008</v>
      </c>
    </row>
    <row r="20" spans="1:8" ht="18.649999999999999" customHeight="1">
      <c r="A20" s="1" t="s">
        <v>84</v>
      </c>
      <c r="B20" s="1" t="s">
        <v>83</v>
      </c>
      <c r="C20" s="1" t="s">
        <v>79</v>
      </c>
      <c r="D20" s="2">
        <v>488</v>
      </c>
      <c r="E20" s="5">
        <v>0.64959016000000003</v>
      </c>
      <c r="F20" s="5">
        <v>0.64765974999999998</v>
      </c>
      <c r="G20" s="5">
        <v>0.31387134999999999</v>
      </c>
      <c r="H20" s="3">
        <v>31.387135000000001</v>
      </c>
    </row>
    <row r="21" spans="1:8" ht="18.649999999999999" customHeight="1">
      <c r="A21" s="1" t="s">
        <v>85</v>
      </c>
      <c r="B21" s="1" t="s">
        <v>83</v>
      </c>
      <c r="C21" s="1" t="s">
        <v>77</v>
      </c>
      <c r="D21" s="2">
        <v>488</v>
      </c>
      <c r="E21" s="5">
        <v>0.23770491999999999</v>
      </c>
      <c r="F21" s="5">
        <v>0.23829072000000001</v>
      </c>
      <c r="G21" s="5">
        <v>-9.5497680000000001E-2</v>
      </c>
      <c r="H21" s="3">
        <v>9.5497680000000003</v>
      </c>
    </row>
    <row r="22" spans="1:8" ht="18.649999999999999" customHeight="1">
      <c r="A22" s="1" t="s">
        <v>85</v>
      </c>
      <c r="B22" s="1" t="s">
        <v>83</v>
      </c>
      <c r="C22" s="1" t="s">
        <v>78</v>
      </c>
      <c r="D22" s="2">
        <v>486</v>
      </c>
      <c r="E22" s="5">
        <v>0.23868312999999999</v>
      </c>
      <c r="F22" s="5">
        <v>0.23926532</v>
      </c>
      <c r="G22" s="5">
        <v>-9.4523070000000001E-2</v>
      </c>
      <c r="H22" s="3">
        <v>9.4523069999999993</v>
      </c>
    </row>
    <row r="23" spans="1:8" ht="18.649999999999999" customHeight="1">
      <c r="A23" s="1" t="s">
        <v>85</v>
      </c>
      <c r="B23" s="1" t="s">
        <v>83</v>
      </c>
      <c r="C23" s="1" t="s">
        <v>79</v>
      </c>
      <c r="D23" s="2">
        <v>488</v>
      </c>
      <c r="E23" s="5">
        <v>0.52459016000000003</v>
      </c>
      <c r="F23" s="5">
        <v>0.52342367000000001</v>
      </c>
      <c r="G23" s="5">
        <v>0.18963526999999999</v>
      </c>
      <c r="H23" s="3">
        <v>18.963526999999999</v>
      </c>
    </row>
    <row r="24" spans="1:8" ht="18.649999999999999" customHeight="1">
      <c r="A24" s="1" t="s">
        <v>86</v>
      </c>
      <c r="B24" s="1" t="s">
        <v>83</v>
      </c>
      <c r="C24" s="1" t="s">
        <v>77</v>
      </c>
      <c r="D24" s="2">
        <v>487</v>
      </c>
      <c r="E24" s="5">
        <v>0.43737166</v>
      </c>
      <c r="F24" s="5">
        <v>0.43673675000000001</v>
      </c>
      <c r="G24" s="5">
        <v>0.10294834999999999</v>
      </c>
      <c r="H24" s="3">
        <v>10.294834999999999</v>
      </c>
    </row>
    <row r="25" spans="1:8" ht="18.649999999999999" customHeight="1">
      <c r="A25" s="1" t="s">
        <v>86</v>
      </c>
      <c r="B25" s="1" t="s">
        <v>83</v>
      </c>
      <c r="C25" s="1" t="s">
        <v>78</v>
      </c>
      <c r="D25" s="2">
        <v>487</v>
      </c>
      <c r="E25" s="5">
        <v>0.23819302000000001</v>
      </c>
      <c r="F25" s="5">
        <v>0.23877703</v>
      </c>
      <c r="G25" s="5">
        <v>-9.5011369999999998E-2</v>
      </c>
      <c r="H25" s="3">
        <v>9.5011369999999999</v>
      </c>
    </row>
    <row r="26" spans="1:8" ht="18.649999999999999" customHeight="1">
      <c r="A26" s="1" t="s">
        <v>86</v>
      </c>
      <c r="B26" s="1" t="s">
        <v>83</v>
      </c>
      <c r="C26" s="1" t="s">
        <v>79</v>
      </c>
      <c r="D26" s="2">
        <v>488</v>
      </c>
      <c r="E26" s="5">
        <v>0.32581967000000001</v>
      </c>
      <c r="F26" s="5">
        <v>0.32586741000000002</v>
      </c>
      <c r="G26" s="5">
        <v>-7.9209799999999993E-3</v>
      </c>
      <c r="H26" s="3">
        <v>0.79209799999999997</v>
      </c>
    </row>
    <row r="27" spans="1:8" ht="18.649999999999999" customHeight="1">
      <c r="A27" s="1" t="s">
        <v>65</v>
      </c>
      <c r="B27" s="1" t="s">
        <v>87</v>
      </c>
      <c r="C27" s="1" t="s">
        <v>77</v>
      </c>
      <c r="D27" s="2">
        <v>488</v>
      </c>
      <c r="E27" s="5">
        <v>0</v>
      </c>
      <c r="F27" s="5">
        <v>2.0366799999999999E-3</v>
      </c>
      <c r="G27" s="5">
        <v>-0.33175172000000003</v>
      </c>
      <c r="H27" s="3">
        <v>33.175172000000003</v>
      </c>
    </row>
    <row r="28" spans="1:8" ht="18.649999999999999" customHeight="1">
      <c r="A28" s="1" t="s">
        <v>65</v>
      </c>
      <c r="B28" s="1" t="s">
        <v>87</v>
      </c>
      <c r="C28" s="1" t="s">
        <v>78</v>
      </c>
      <c r="D28" s="2">
        <v>486</v>
      </c>
      <c r="E28" s="5">
        <v>0.15637860000000001</v>
      </c>
      <c r="F28" s="5">
        <v>0.15746531999999999</v>
      </c>
      <c r="G28" s="5">
        <v>-0.17632307999999999</v>
      </c>
      <c r="H28" s="3">
        <v>17.632307999999998</v>
      </c>
    </row>
    <row r="29" spans="1:8" ht="18.649999999999999" customHeight="1">
      <c r="A29" s="1" t="s">
        <v>65</v>
      </c>
      <c r="B29" s="1" t="s">
        <v>87</v>
      </c>
      <c r="C29" s="1" t="s">
        <v>79</v>
      </c>
      <c r="D29" s="2">
        <v>488</v>
      </c>
      <c r="E29" s="5">
        <v>0.84426230000000002</v>
      </c>
      <c r="F29" s="5">
        <v>0.84114164000000002</v>
      </c>
      <c r="G29" s="5">
        <v>0.50735324999999998</v>
      </c>
      <c r="H29" s="3">
        <v>50.735324999999996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RowHeight="14"/>
  <cols>
    <col min="1" max="1" width="10" customWidth="1"/>
    <col min="2" max="2" width="18" customWidth="1"/>
    <col min="3" max="3" width="22" customWidth="1"/>
    <col min="4" max="10" width="18" customWidth="1"/>
  </cols>
  <sheetData>
    <row r="1" spans="1:10" ht="20" customHeight="1">
      <c r="A1" s="13" t="s">
        <v>88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0" customHeight="1">
      <c r="A3" s="4" t="s">
        <v>89</v>
      </c>
      <c r="B3" s="4" t="s">
        <v>21</v>
      </c>
      <c r="C3" s="4" t="s">
        <v>72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94</v>
      </c>
      <c r="I3" s="4" t="s">
        <v>95</v>
      </c>
      <c r="J3" s="4" t="s">
        <v>96</v>
      </c>
    </row>
    <row r="4" spans="1:10" ht="20" customHeight="1">
      <c r="A4" s="2">
        <v>1</v>
      </c>
      <c r="B4" s="1" t="s">
        <v>65</v>
      </c>
      <c r="C4" s="1" t="s">
        <v>87</v>
      </c>
      <c r="D4" s="1" t="s">
        <v>79</v>
      </c>
      <c r="E4" s="5">
        <v>0.50735324999999998</v>
      </c>
      <c r="F4" s="1" t="s">
        <v>77</v>
      </c>
      <c r="G4" s="5">
        <v>2.0366799999999999E-3</v>
      </c>
      <c r="H4" s="1" t="s">
        <v>79</v>
      </c>
      <c r="I4" s="5">
        <v>0.84114164000000002</v>
      </c>
      <c r="J4" s="5">
        <v>0.83910496000000001</v>
      </c>
    </row>
    <row r="5" spans="1:10" ht="20" customHeight="1">
      <c r="A5" s="2">
        <v>2</v>
      </c>
      <c r="B5" s="1" t="s">
        <v>48</v>
      </c>
      <c r="C5" s="1" t="s">
        <v>83</v>
      </c>
      <c r="D5" s="1" t="s">
        <v>79</v>
      </c>
      <c r="E5" s="5">
        <v>0.41977731000000001</v>
      </c>
      <c r="F5" s="1" t="s">
        <v>77</v>
      </c>
      <c r="G5" s="5">
        <v>3.265332E-2</v>
      </c>
      <c r="H5" s="1" t="s">
        <v>79</v>
      </c>
      <c r="I5" s="5">
        <v>0.7535657</v>
      </c>
      <c r="J5" s="5">
        <v>0.72091238000000002</v>
      </c>
    </row>
    <row r="6" spans="1:10" ht="20" customHeight="1">
      <c r="A6" s="2">
        <v>3</v>
      </c>
      <c r="B6" s="1" t="s">
        <v>84</v>
      </c>
      <c r="C6" s="1" t="s">
        <v>83</v>
      </c>
      <c r="D6" s="1" t="s">
        <v>79</v>
      </c>
      <c r="E6" s="5">
        <v>0.31387134999999999</v>
      </c>
      <c r="F6" s="1" t="s">
        <v>77</v>
      </c>
      <c r="G6" s="5">
        <v>0.1059071</v>
      </c>
      <c r="H6" s="1" t="s">
        <v>79</v>
      </c>
      <c r="I6" s="5">
        <v>0.64765974999999998</v>
      </c>
      <c r="J6" s="5">
        <v>0.54175264999999995</v>
      </c>
    </row>
    <row r="7" spans="1:10" ht="20" customHeight="1">
      <c r="A7" s="2">
        <v>4</v>
      </c>
      <c r="B7" s="1" t="s">
        <v>85</v>
      </c>
      <c r="C7" s="1" t="s">
        <v>83</v>
      </c>
      <c r="D7" s="1" t="s">
        <v>79</v>
      </c>
      <c r="E7" s="5">
        <v>0.18963526999999999</v>
      </c>
      <c r="F7" s="1" t="s">
        <v>77</v>
      </c>
      <c r="G7" s="5">
        <v>0.23829072000000001</v>
      </c>
      <c r="H7" s="1" t="s">
        <v>79</v>
      </c>
      <c r="I7" s="5">
        <v>0.52342367000000001</v>
      </c>
      <c r="J7" s="5">
        <v>0.28513295</v>
      </c>
    </row>
    <row r="8" spans="1:10" ht="20" customHeight="1">
      <c r="A8" s="2">
        <v>5</v>
      </c>
      <c r="B8" s="1" t="s">
        <v>38</v>
      </c>
      <c r="C8" s="1" t="s">
        <v>76</v>
      </c>
      <c r="D8" s="1" t="s">
        <v>77</v>
      </c>
      <c r="E8" s="5">
        <v>-0.13623105999999999</v>
      </c>
      <c r="F8" s="1" t="s">
        <v>77</v>
      </c>
      <c r="G8" s="5">
        <v>0.19755733</v>
      </c>
      <c r="H8" s="1" t="s">
        <v>79</v>
      </c>
      <c r="I8" s="5">
        <v>0.40286498999999998</v>
      </c>
      <c r="J8" s="5">
        <v>0.20530766</v>
      </c>
    </row>
    <row r="9" spans="1:10" ht="20" customHeight="1">
      <c r="A9" s="2">
        <v>6</v>
      </c>
      <c r="B9" s="1" t="s">
        <v>33</v>
      </c>
      <c r="C9" s="1" t="s">
        <v>76</v>
      </c>
      <c r="D9" s="1" t="s">
        <v>79</v>
      </c>
      <c r="E9" s="5">
        <v>-0.11790104</v>
      </c>
      <c r="F9" s="1" t="s">
        <v>79</v>
      </c>
      <c r="G9" s="5">
        <v>0.21588736</v>
      </c>
      <c r="H9" s="1" t="s">
        <v>78</v>
      </c>
      <c r="I9" s="5">
        <v>0.42449184000000001</v>
      </c>
      <c r="J9" s="5">
        <v>0.20860448000000001</v>
      </c>
    </row>
    <row r="10" spans="1:10" ht="20" customHeight="1">
      <c r="A10" s="2">
        <v>7</v>
      </c>
      <c r="B10" s="1" t="s">
        <v>86</v>
      </c>
      <c r="C10" s="1" t="s">
        <v>83</v>
      </c>
      <c r="D10" s="1" t="s">
        <v>77</v>
      </c>
      <c r="E10" s="5">
        <v>0.10294834999999999</v>
      </c>
      <c r="F10" s="1" t="s">
        <v>78</v>
      </c>
      <c r="G10" s="5">
        <v>0.23877703</v>
      </c>
      <c r="H10" s="1" t="s">
        <v>77</v>
      </c>
      <c r="I10" s="5">
        <v>0.43673675000000001</v>
      </c>
      <c r="J10" s="5">
        <v>0.19795972000000001</v>
      </c>
    </row>
    <row r="11" spans="1:10" ht="20" customHeight="1">
      <c r="A11" s="2">
        <v>8</v>
      </c>
      <c r="B11" s="1" t="s">
        <v>43</v>
      </c>
      <c r="C11" s="1" t="s">
        <v>76</v>
      </c>
      <c r="D11" s="1" t="s">
        <v>79</v>
      </c>
      <c r="E11" s="5">
        <v>-9.0929720000000006E-2</v>
      </c>
      <c r="F11" s="1" t="s">
        <v>79</v>
      </c>
      <c r="G11" s="5">
        <v>0.24285867999999999</v>
      </c>
      <c r="H11" s="1" t="s">
        <v>77</v>
      </c>
      <c r="I11" s="5">
        <v>0.41548064000000001</v>
      </c>
      <c r="J11" s="5">
        <v>0.17262195999999999</v>
      </c>
    </row>
    <row r="12" spans="1:10" ht="20" customHeight="1">
      <c r="A12" s="2">
        <v>9</v>
      </c>
      <c r="B12" s="1" t="s">
        <v>80</v>
      </c>
      <c r="C12" s="1" t="s">
        <v>76</v>
      </c>
      <c r="D12" s="1" t="s">
        <v>82</v>
      </c>
      <c r="E12" s="5">
        <v>-1.94205E-2</v>
      </c>
      <c r="F12" s="1" t="s">
        <v>82</v>
      </c>
      <c r="G12" s="5">
        <v>0.31436789999999998</v>
      </c>
      <c r="H12" s="1" t="s">
        <v>81</v>
      </c>
      <c r="I12" s="5">
        <v>0.35163494000000001</v>
      </c>
      <c r="J12" s="5">
        <v>3.7267040000000001E-2</v>
      </c>
    </row>
  </sheetData>
  <mergeCells count="1">
    <mergeCell ref="A1:J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4"/>
  <cols>
    <col min="1" max="1" width="22" customWidth="1"/>
    <col min="2" max="2" width="64" customWidth="1"/>
    <col min="3" max="3" width="42" customWidth="1"/>
    <col min="4" max="4" width="56" customWidth="1"/>
  </cols>
  <sheetData>
    <row r="1" spans="1:4" ht="20" customHeight="1">
      <c r="A1" s="13" t="s">
        <v>97</v>
      </c>
      <c r="B1" s="14"/>
      <c r="C1" s="14"/>
      <c r="D1" s="14"/>
    </row>
    <row r="2" spans="1:4">
      <c r="A2" s="1"/>
      <c r="B2" s="1"/>
      <c r="C2" s="1"/>
      <c r="D2" s="1"/>
    </row>
    <row r="3" spans="1:4" ht="10" customHeight="1">
      <c r="A3" s="4" t="s">
        <v>98</v>
      </c>
      <c r="B3" s="4" t="s">
        <v>99</v>
      </c>
      <c r="C3" s="4" t="s">
        <v>100</v>
      </c>
      <c r="D3" s="4" t="s">
        <v>101</v>
      </c>
    </row>
    <row r="4" spans="1:4" ht="29.4" customHeight="1">
      <c r="A4" s="1" t="s">
        <v>102</v>
      </c>
      <c r="B4" s="1" t="s">
        <v>103</v>
      </c>
      <c r="C4" s="1"/>
      <c r="D4" s="1" t="s">
        <v>104</v>
      </c>
    </row>
    <row r="5" spans="1:4" ht="29.4" customHeight="1">
      <c r="A5" s="1" t="s">
        <v>105</v>
      </c>
      <c r="B5" s="1" t="s">
        <v>106</v>
      </c>
      <c r="C5" s="1" t="s">
        <v>107</v>
      </c>
      <c r="D5" s="1" t="s">
        <v>108</v>
      </c>
    </row>
    <row r="6" spans="1:4" ht="29.4" customHeight="1">
      <c r="A6" s="1" t="s">
        <v>109</v>
      </c>
      <c r="B6" s="1" t="s">
        <v>110</v>
      </c>
      <c r="C6" s="1" t="s">
        <v>111</v>
      </c>
      <c r="D6" s="1" t="s">
        <v>112</v>
      </c>
    </row>
    <row r="7" spans="1:4" ht="29.4" customHeight="1">
      <c r="A7" s="1" t="s">
        <v>113</v>
      </c>
      <c r="B7" s="1" t="s">
        <v>114</v>
      </c>
      <c r="C7" s="1" t="s">
        <v>115</v>
      </c>
      <c r="D7" s="1" t="s">
        <v>116</v>
      </c>
    </row>
    <row r="8" spans="1:4" ht="29.4" customHeight="1">
      <c r="A8" s="1" t="s">
        <v>117</v>
      </c>
      <c r="B8" s="1" t="s">
        <v>118</v>
      </c>
      <c r="C8" s="1"/>
      <c r="D8" s="1" t="s">
        <v>119</v>
      </c>
    </row>
  </sheetData>
  <mergeCells count="1">
    <mergeCell ref="A1:D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Report Tables</vt:lpstr>
      <vt:lpstr>Cutpoints</vt:lpstr>
      <vt:lpstr>BN Scenarios</vt:lpstr>
      <vt:lpstr>State Sensitivity</vt:lpstr>
      <vt:lpstr>Sensitivity Ranking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xiao</cp:lastModifiedBy>
  <dcterms:modified xsi:type="dcterms:W3CDTF">2026-06-13T13:50:33Z</dcterms:modified>
</cp:coreProperties>
</file>